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D8EC44DA-0466-4D27-BFFD-A98CA92687FC}" xr6:coauthVersionLast="47" xr6:coauthVersionMax="47" xr10:uidLastSave="{00000000-0000-0000-0000-000000000000}"/>
  <bookViews>
    <workbookView xWindow="-120" yWindow="-120" windowWidth="29040" windowHeight="17520" xr2:uid="{D2260C72-9CE1-4B71-A211-89AD43566163}"/>
  </bookViews>
  <sheets>
    <sheet name="1.6" sheetId="2" r:id="rId1"/>
    <sheet name="Daten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3" l="1"/>
  <c r="D9" i="3"/>
  <c r="G8" i="3"/>
  <c r="D8" i="3"/>
  <c r="L5" i="3"/>
  <c r="K5" i="3"/>
  <c r="J5" i="3"/>
  <c r="I5" i="3"/>
  <c r="H5" i="3"/>
  <c r="G5" i="3"/>
  <c r="F5" i="3"/>
  <c r="E5" i="3"/>
  <c r="D5" i="3"/>
  <c r="C5" i="3"/>
  <c r="B5" i="3"/>
  <c r="M5" i="3" s="1"/>
  <c r="L4" i="3"/>
  <c r="K3" i="3"/>
  <c r="J3" i="3"/>
  <c r="I3" i="3"/>
  <c r="H3" i="3"/>
  <c r="G3" i="3"/>
  <c r="F3" i="3"/>
  <c r="E3" i="3"/>
  <c r="D3" i="3"/>
  <c r="C3" i="3"/>
  <c r="B3" i="3"/>
  <c r="L2" i="3"/>
  <c r="L3" i="3" s="1"/>
  <c r="M3" i="3" l="1"/>
</calcChain>
</file>

<file path=xl/sharedStrings.xml><?xml version="1.0" encoding="utf-8"?>
<sst xmlns="http://schemas.openxmlformats.org/spreadsheetml/2006/main" count="30" uniqueCount="28">
  <si>
    <t>Absolutwerte für  Niedersachsen:</t>
  </si>
  <si>
    <t>Ausländerinnen und Ausländer (2024)</t>
  </si>
  <si>
    <t>Darunter:</t>
  </si>
  <si>
    <t>Einbürgerungen insgesamt</t>
  </si>
  <si>
    <t>Ausländerinnen und Ausländer (2021)</t>
  </si>
  <si>
    <t xml:space="preserve">Einbürgerungen insgesamt </t>
  </si>
  <si>
    <t>Einbürgerungen</t>
  </si>
  <si>
    <t>Syrien</t>
  </si>
  <si>
    <t>Irak</t>
  </si>
  <si>
    <t>Türkei</t>
  </si>
  <si>
    <t>Russische Föderation</t>
  </si>
  <si>
    <t>Afghanistan</t>
  </si>
  <si>
    <t>Iran</t>
  </si>
  <si>
    <t>Polen</t>
  </si>
  <si>
    <t>Ukraine</t>
  </si>
  <si>
    <t>Rumänien</t>
  </si>
  <si>
    <t>Serbien</t>
  </si>
  <si>
    <t>Sonstige</t>
  </si>
  <si>
    <t>2024 (NI)</t>
  </si>
  <si>
    <t>2021 (NI)</t>
  </si>
  <si>
    <t>NI</t>
  </si>
  <si>
    <t>Ausländerinnen und Ausländer</t>
  </si>
  <si>
    <t>Prozent</t>
  </si>
  <si>
    <t>DE</t>
  </si>
  <si>
    <t>Ausländerinnen u. Ausländer</t>
  </si>
  <si>
    <t>Niedersachsen</t>
  </si>
  <si>
    <t>Deutschland</t>
  </si>
  <si>
    <t>Quelle: Landesamt für Statistik Niedersachsen - Einbürgerungsstatistik 2021 und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</si>
</sst>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6"/>
      <color rgb="FF000000"/>
      <name val="NDSFrutiger Light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indent="1"/>
    </xf>
    <xf numFmtId="0" fontId="3" fillId="0" borderId="0" xfId="0" applyFont="1"/>
    <xf numFmtId="3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2" borderId="0" xfId="0" applyFill="1"/>
    <xf numFmtId="3" fontId="1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de-DE" sz="900" b="0" i="0" u="none" strike="noStrike" kern="1200" spc="0" baseline="0">
                <a:solidFill>
                  <a:sysClr val="windowText" lastClr="000000"/>
                </a:solidFill>
                <a:latin typeface=" NDSFrutiger 55 Roman"/>
                <a:ea typeface="+mn-ea"/>
                <a:cs typeface="Arial" panose="020B0604020202020204" pitchFamily="34" charset="0"/>
              </a:defRPr>
            </a:pPr>
            <a:r>
              <a:rPr lang="de-DE" sz="900" b="0" i="0" u="none" strike="noStrike" kern="1200" spc="0" baseline="0">
                <a:solidFill>
                  <a:sysClr val="windowText" lastClr="000000"/>
                </a:solidFill>
                <a:latin typeface=" NDSFrutiger 55 Roman"/>
                <a:ea typeface="+mn-ea"/>
                <a:cs typeface="Arial" panose="020B0604020202020204" pitchFamily="34" charset="0"/>
              </a:rPr>
              <a:t>1.6 Anteil der eingebürgerten Personen an der ausländischen Bevölkerung in Niedersachsen und Deutschland 2021 und 2024 in Prozent</a:t>
            </a:r>
          </a:p>
        </c:rich>
      </c:tx>
      <c:layout>
        <c:manualLayout>
          <c:xMode val="edge"/>
          <c:yMode val="edge"/>
          <c:x val="1.3563449101218034E-2"/>
          <c:y val="1.1872533098961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de-DE" sz="900" b="0" i="0" u="none" strike="noStrike" kern="1200" spc="0" baseline="0">
              <a:solidFill>
                <a:sysClr val="windowText" lastClr="000000"/>
              </a:solidFill>
              <a:latin typeface=" NDSFrutiger 55 Roman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[1]Daten!$J$47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[1]Daten!$I$48:$I$49</c:f>
              <c:strCache>
                <c:ptCount val="2"/>
                <c:pt idx="0">
                  <c:v>Niedersachsen</c:v>
                </c:pt>
                <c:pt idx="1">
                  <c:v>Deutschland</c:v>
                </c:pt>
              </c:strCache>
            </c:strRef>
          </c:cat>
          <c:val>
            <c:numRef>
              <c:f>[1]Daten!$J$48:$J$49</c:f>
              <c:numCache>
                <c:formatCode>General</c:formatCode>
                <c:ptCount val="2"/>
                <c:pt idx="0">
                  <c:v>2.1</c:v>
                </c:pt>
                <c:pt idx="1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D-472B-B01F-641A42CD204A}"/>
            </c:ext>
          </c:extLst>
        </c:ser>
        <c:ser>
          <c:idx val="1"/>
          <c:order val="1"/>
          <c:tx>
            <c:strRef>
              <c:f>[1]Daten!$K$47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[1]Daten!$I$48:$I$49</c:f>
              <c:strCache>
                <c:ptCount val="2"/>
                <c:pt idx="0">
                  <c:v>Niedersachsen</c:v>
                </c:pt>
                <c:pt idx="1">
                  <c:v>Deutschland</c:v>
                </c:pt>
              </c:strCache>
            </c:strRef>
          </c:cat>
          <c:val>
            <c:numRef>
              <c:f>[1]Daten!$K$48:$K$49</c:f>
              <c:numCache>
                <c:formatCode>General</c:formatCode>
                <c:ptCount val="2"/>
                <c:pt idx="0">
                  <c:v>1</c:v>
                </c:pt>
                <c:pt idx="1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D-472B-B01F-641A42CD2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8294664"/>
        <c:axId val="848292368"/>
      </c:barChart>
      <c:catAx>
        <c:axId val="848294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848292368"/>
        <c:crosses val="autoZero"/>
        <c:auto val="1"/>
        <c:lblAlgn val="ctr"/>
        <c:lblOffset val="100"/>
        <c:noMultiLvlLbl val="0"/>
      </c:catAx>
      <c:valAx>
        <c:axId val="8482923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48294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940411807397117"/>
          <c:y val="0.89971362720858261"/>
          <c:w val="0.11361959828663749"/>
          <c:h val="5.2961266077028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DSFrutiger Ligh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131379</xdr:colOff>
      <xdr:row>0</xdr:row>
      <xdr:rowOff>35016</xdr:rowOff>
    </xdr:from>
    <xdr:to>
      <xdr:col>8</xdr:col>
      <xdr:colOff>744292</xdr:colOff>
      <xdr:row>19</xdr:row>
      <xdr:rowOff>172507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1331696-7064-40D4-A126-AB18139F8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105102</xdr:colOff>
      <xdr:row>19</xdr:row>
      <xdr:rowOff>16279</xdr:rowOff>
    </xdr:from>
    <xdr:to>
      <xdr:col>5</xdr:col>
      <xdr:colOff>269327</xdr:colOff>
      <xdr:row>20</xdr:row>
      <xdr:rowOff>51075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B4564B47-8A77-41EA-B627-530C220E409F}"/>
            </a:ext>
          </a:extLst>
        </xdr:cNvPr>
        <xdr:cNvSpPr txBox="1"/>
      </xdr:nvSpPr>
      <xdr:spPr>
        <a:xfrm>
          <a:off x="105102" y="3635779"/>
          <a:ext cx="3974225" cy="2252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Niedersachsen,</a:t>
          </a:r>
          <a:r>
            <a:rPr lang="de-DE" sz="600" baseline="0">
              <a:latin typeface="NDSFrutiger Light"/>
            </a:rPr>
            <a:t> </a:t>
          </a:r>
          <a:r>
            <a:rPr lang="de-DE" sz="600">
              <a:latin typeface="NDSFrutiger Light"/>
            </a:rPr>
            <a:t>Statistisches </a:t>
          </a:r>
          <a:r>
            <a:rPr lang="de-DE" sz="600">
              <a:solidFill>
                <a:schemeClr val="tx1"/>
              </a:solidFill>
              <a:latin typeface="NDSFrutiger Light"/>
              <a:ea typeface="+mn-ea"/>
              <a:cs typeface="+mn-cs"/>
            </a:rPr>
            <a:t>Bundesamt - Einbürgerungsstatistik 2021 und 2024 </a:t>
          </a:r>
        </a:p>
      </xdr:txBody>
    </xdr:sp>
    <xdr:clientData/>
  </xdr:twoCellAnchor>
  <xdr:twoCellAnchor>
    <xdr:from>
      <xdr:col>9</xdr:col>
      <xdr:colOff>72260</xdr:colOff>
      <xdr:row>1</xdr:row>
      <xdr:rowOff>131380</xdr:rowOff>
    </xdr:from>
    <xdr:to>
      <xdr:col>16</xdr:col>
      <xdr:colOff>400708</xdr:colOff>
      <xdr:row>4</xdr:row>
      <xdr:rowOff>32845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291FB4E9-E120-484B-9957-F9D319E2E9DC}"/>
            </a:ext>
          </a:extLst>
        </xdr:cNvPr>
        <xdr:cNvSpPr txBox="1"/>
      </xdr:nvSpPr>
      <xdr:spPr>
        <a:xfrm>
          <a:off x="6930260" y="321880"/>
          <a:ext cx="7986548" cy="472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Die Zahl der Einbürgerungen in Niedersachsen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hatte sich von 2021 zu 2024 mehr als verdoppelt.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de-DE" sz="10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Niedersachsen und Deutschland wiesen vergleichbare Einbürgerungsquoten auf.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D02260DB-B8D6-4F43-8332-B2328947607A}"/>
            </a:ext>
          </a:extLst>
        </xdr:cNvPr>
        <xdr:cNvSpPr txBox="1"/>
      </xdr:nvSpPr>
      <xdr:spPr>
        <a:xfrm>
          <a:off x="11534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571500</xdr:colOff>
      <xdr:row>12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EDD9A62D-9E3A-4CDE-8B3B-BB7B2E0A2B66}"/>
            </a:ext>
          </a:extLst>
        </xdr:cNvPr>
        <xdr:cNvSpPr txBox="1"/>
      </xdr:nvSpPr>
      <xdr:spPr>
        <a:xfrm>
          <a:off x="6229350" y="239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Ergebnisse%20und%20Diagramme_Migration_MZ_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6"/>
      <sheetName val="1.5"/>
      <sheetName val="2.1"/>
      <sheetName val="2.2"/>
      <sheetName val="2.3"/>
      <sheetName val="3.1"/>
      <sheetName val="3.2"/>
      <sheetName val="3.3"/>
      <sheetName val="BeruflAbsch"/>
      <sheetName val="Abb8"/>
      <sheetName val="Da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7">
          <cell r="J47">
            <v>2024</v>
          </cell>
          <cell r="K47">
            <v>2021</v>
          </cell>
        </row>
        <row r="48">
          <cell r="I48" t="str">
            <v>Niedersachsen</v>
          </cell>
          <cell r="J48">
            <v>2.1</v>
          </cell>
          <cell r="K48">
            <v>1</v>
          </cell>
        </row>
        <row r="49">
          <cell r="I49" t="str">
            <v>Deutschland</v>
          </cell>
          <cell r="J49">
            <v>2.1</v>
          </cell>
          <cell r="K49">
            <v>1.1000000000000001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08FC-C830-436D-9D5D-36724BE3D401}">
  <dimension ref="J6:O24"/>
  <sheetViews>
    <sheetView tabSelected="1" zoomScale="145" zoomScaleNormal="145" workbookViewId="0">
      <selection activeCell="J16" sqref="J16"/>
    </sheetView>
  </sheetViews>
  <sheetFormatPr baseColWidth="10" defaultColWidth="11.42578125" defaultRowHeight="15"/>
  <cols>
    <col min="10" max="10" width="46.28515625" bestFit="1" customWidth="1"/>
  </cols>
  <sheetData>
    <row r="6" spans="10:11">
      <c r="J6" s="1" t="s">
        <v>0</v>
      </c>
      <c r="K6" s="2"/>
    </row>
    <row r="7" spans="10:11">
      <c r="J7" s="3" t="s">
        <v>1</v>
      </c>
      <c r="K7" s="4">
        <v>1093110</v>
      </c>
    </row>
    <row r="8" spans="10:11">
      <c r="J8" s="3" t="s">
        <v>2</v>
      </c>
      <c r="K8" s="4"/>
    </row>
    <row r="9" spans="10:11">
      <c r="J9" s="5" t="s">
        <v>3</v>
      </c>
      <c r="K9" s="4">
        <v>23381</v>
      </c>
    </row>
    <row r="10" spans="10:11">
      <c r="J10" s="6" t="s">
        <v>4</v>
      </c>
      <c r="K10" s="4">
        <v>1085315</v>
      </c>
    </row>
    <row r="11" spans="10:11">
      <c r="J11" s="3" t="s">
        <v>2</v>
      </c>
    </row>
    <row r="12" spans="10:11">
      <c r="J12" s="7" t="s">
        <v>5</v>
      </c>
      <c r="K12" s="13">
        <v>10419</v>
      </c>
    </row>
    <row r="13" spans="10:11">
      <c r="J13" s="8" t="s">
        <v>27</v>
      </c>
    </row>
    <row r="14" spans="10:11">
      <c r="J14" s="5"/>
      <c r="K14" s="4"/>
    </row>
    <row r="16" spans="10:11">
      <c r="J16" s="5"/>
      <c r="K16" s="4"/>
    </row>
    <row r="17" spans="10:15">
      <c r="J17" s="5"/>
      <c r="K17" s="4"/>
    </row>
    <row r="23" spans="10:15">
      <c r="L23" s="9"/>
      <c r="M23" s="10"/>
      <c r="N23" s="9"/>
      <c r="O23" s="9"/>
    </row>
    <row r="24" spans="10:15">
      <c r="L24" s="9"/>
      <c r="M24" s="10"/>
      <c r="N24" s="9"/>
      <c r="O24" s="9"/>
    </row>
  </sheetData>
  <pageMargins left="0.7" right="0.7" top="0.78740157499999996" bottom="0.78740157499999996" header="0.3" footer="0.3"/>
  <headerFooter>
    <oddFooter>&amp;C_x000D_&amp;1#&amp;"Calibri"&amp;10&amp;K000000 Stufe 2 – Intern nach LfD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D58B-A3CD-408F-85CB-DAB010089891}">
  <dimension ref="A1:M9"/>
  <sheetViews>
    <sheetView workbookViewId="0">
      <selection activeCell="F27" sqref="F27"/>
    </sheetView>
  </sheetViews>
  <sheetFormatPr baseColWidth="10" defaultRowHeight="15"/>
  <cols>
    <col min="1" max="1" width="51.140625" bestFit="1" customWidth="1"/>
    <col min="2" max="2" width="14.7109375" customWidth="1"/>
    <col min="3" max="3" width="19" customWidth="1"/>
    <col min="4" max="4" width="15" customWidth="1"/>
    <col min="5" max="5" width="13.85546875" customWidth="1"/>
    <col min="6" max="11" width="14.42578125" bestFit="1" customWidth="1"/>
    <col min="12" max="12" width="15.42578125" bestFit="1" customWidth="1"/>
  </cols>
  <sheetData>
    <row r="1" spans="1:13">
      <c r="A1" s="1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3">
      <c r="A2" s="12" t="s">
        <v>18</v>
      </c>
      <c r="B2">
        <v>8403</v>
      </c>
      <c r="C2">
        <v>1871</v>
      </c>
      <c r="D2">
        <v>1423</v>
      </c>
      <c r="E2">
        <v>988</v>
      </c>
      <c r="F2">
        <v>785</v>
      </c>
      <c r="G2">
        <v>755</v>
      </c>
      <c r="H2">
        <v>581</v>
      </c>
      <c r="I2">
        <v>560</v>
      </c>
      <c r="J2">
        <v>415</v>
      </c>
      <c r="K2">
        <v>413</v>
      </c>
      <c r="L2">
        <f>M2-(SUM(B2:K2))</f>
        <v>7187</v>
      </c>
      <c r="M2">
        <v>23381</v>
      </c>
    </row>
    <row r="3" spans="1:13">
      <c r="A3" s="12">
        <v>23381</v>
      </c>
      <c r="B3" s="10">
        <f>B2/A3*100</f>
        <v>35.939438005217909</v>
      </c>
      <c r="C3" s="10">
        <f>C2/A3*100</f>
        <v>8.0022240280569683</v>
      </c>
      <c r="D3" s="10">
        <f>D2/A3*100</f>
        <v>6.0861383174372357</v>
      </c>
      <c r="E3" s="10">
        <f>E2/A3*100</f>
        <v>4.2256533082417347</v>
      </c>
      <c r="F3" s="10">
        <f>F2/A3*100</f>
        <v>3.3574269706171682</v>
      </c>
      <c r="G3" s="10">
        <f>G2/A3*100</f>
        <v>3.2291176596381677</v>
      </c>
      <c r="H3" s="10">
        <f>H2/A3*100</f>
        <v>2.4849236559599674</v>
      </c>
      <c r="I3" s="10">
        <f>I2/A3*100</f>
        <v>2.3951071382746676</v>
      </c>
      <c r="J3" s="10">
        <f>J2/A3*100</f>
        <v>1.7749454685428341</v>
      </c>
      <c r="K3" s="10">
        <f>K2/A3*100</f>
        <v>1.7663915144775673</v>
      </c>
      <c r="L3" s="10">
        <f>L2/A3*100</f>
        <v>30.738633933535773</v>
      </c>
      <c r="M3">
        <f>SUM(B3:L3)</f>
        <v>100</v>
      </c>
    </row>
    <row r="4" spans="1:13">
      <c r="A4" s="12" t="s">
        <v>19</v>
      </c>
      <c r="B4">
        <v>2592</v>
      </c>
      <c r="C4">
        <v>527</v>
      </c>
      <c r="D4">
        <v>899</v>
      </c>
      <c r="E4">
        <v>117</v>
      </c>
      <c r="F4">
        <v>292</v>
      </c>
      <c r="G4">
        <v>331</v>
      </c>
      <c r="H4">
        <v>619</v>
      </c>
      <c r="I4">
        <v>97</v>
      </c>
      <c r="J4">
        <v>369</v>
      </c>
      <c r="K4">
        <v>187</v>
      </c>
      <c r="L4">
        <f>M4-(SUM(B4:K4))</f>
        <v>4389</v>
      </c>
      <c r="M4">
        <v>10419</v>
      </c>
    </row>
    <row r="5" spans="1:13">
      <c r="A5" s="12">
        <v>10419</v>
      </c>
      <c r="B5" s="10">
        <f>B4/A5*100</f>
        <v>24.877627411459834</v>
      </c>
      <c r="C5" s="10">
        <f>C4/A5*100</f>
        <v>5.0580669929935693</v>
      </c>
      <c r="D5" s="10">
        <f>D4/A5*100</f>
        <v>8.6284672233419712</v>
      </c>
      <c r="E5" s="10">
        <f>E4/A5*100</f>
        <v>1.1229484595450618</v>
      </c>
      <c r="F5" s="10">
        <f>F4/A5*100</f>
        <v>2.8025722238218638</v>
      </c>
      <c r="G5" s="10">
        <f>G4/A5*100</f>
        <v>3.1768883770035514</v>
      </c>
      <c r="H5" s="10">
        <f>H4/A5*100</f>
        <v>5.9410692004990882</v>
      </c>
      <c r="I5" s="10">
        <f>I4/A5*100</f>
        <v>0.93099145791342741</v>
      </c>
      <c r="J5" s="10">
        <f>J4/A5*100</f>
        <v>3.5416066801036568</v>
      </c>
      <c r="K5" s="10">
        <f>K4/A5*100</f>
        <v>1.7947979652557826</v>
      </c>
      <c r="L5" s="10">
        <f>L4/A5*100</f>
        <v>42.124964008062193</v>
      </c>
      <c r="M5">
        <f>SUM(B5:L5)</f>
        <v>100</v>
      </c>
    </row>
    <row r="7" spans="1:13">
      <c r="A7" s="12"/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22</v>
      </c>
      <c r="I7" s="12"/>
      <c r="J7">
        <v>2024</v>
      </c>
      <c r="K7">
        <v>2021</v>
      </c>
    </row>
    <row r="8" spans="1:13">
      <c r="A8" s="12">
        <v>2024</v>
      </c>
      <c r="B8">
        <v>23381</v>
      </c>
      <c r="C8" s="9">
        <v>1093110</v>
      </c>
      <c r="D8" s="10">
        <f>B8/C8*100</f>
        <v>2.1389430157989588</v>
      </c>
      <c r="E8" s="9">
        <v>291955</v>
      </c>
      <c r="F8" s="9">
        <v>14062000</v>
      </c>
      <c r="G8" s="10">
        <f>E8/F8*100</f>
        <v>2.0761982648271937</v>
      </c>
      <c r="I8" s="12" t="s">
        <v>25</v>
      </c>
      <c r="J8">
        <v>2.1</v>
      </c>
      <c r="K8">
        <v>1</v>
      </c>
    </row>
    <row r="9" spans="1:13">
      <c r="A9" s="12">
        <v>2021</v>
      </c>
      <c r="B9">
        <v>10419</v>
      </c>
      <c r="C9" s="9">
        <v>1085315</v>
      </c>
      <c r="D9" s="10">
        <f>B9/C9*100</f>
        <v>0.95999778866043495</v>
      </c>
      <c r="E9" s="9">
        <v>128905</v>
      </c>
      <c r="F9" s="9">
        <v>11228300</v>
      </c>
      <c r="G9" s="10">
        <f>E9/F9*100</f>
        <v>1.1480366573746692</v>
      </c>
      <c r="I9" s="12" t="s">
        <v>26</v>
      </c>
      <c r="J9">
        <v>2.1</v>
      </c>
      <c r="K9">
        <v>1.1000000000000001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1.6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2025-07-04T11:44:26Z</dcterms:created>
  <dcterms:modified xsi:type="dcterms:W3CDTF">2025-07-11T09:26:22Z</dcterms:modified>
</cp:coreProperties>
</file>