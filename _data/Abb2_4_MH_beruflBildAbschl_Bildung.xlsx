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7A89640C-F9C0-474A-8EA0-0B4367F8AE19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2.4" sheetId="7" r:id="rId1"/>
    <sheet name="Daten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a1">#REF!</definedName>
    <definedName name="__Wkr249">#REF!</definedName>
    <definedName name="_1.1.__Entwicklung_des_Außenhandels_Brandenburgs_nach_wichtigen_Warengruppen">#REF!</definedName>
    <definedName name="_1.2.__Der_Außenhandel_Brandenburgs_nach_Ländergruppen_und_wichtigen_Warengruppen_________im_Dezember_2008">#REF!,#REF!</definedName>
    <definedName name="_1.3.__Der_Außenhandel_Brandenburgs_nach_Ländergruppen_und_wichtigen_Warengruppen">#REF!</definedName>
    <definedName name="_1.4.__Der_Außenhandel_Brandenburgs_nach_ausgewählten_Bestimmungs__bzw._Ursprungsländern_und">#REF!</definedName>
    <definedName name="_1.5.__Der_Außenhandel_Brandenburgs_nach_ausgewählten_Bestimmungs__bzw._Ursprungsländern_und">#REF!</definedName>
    <definedName name="_1.6.__Der_Außenhandel_Brandenburgs_nach_ausgewählten_Warenuntergruppen__im_Dezember_2008">#REF!</definedName>
    <definedName name="_1.7.__Der_Außenhandel_Brandenburgs_nach_ausgewählten_Warenuntergruppen">#REF!</definedName>
    <definedName name="_2.1.__Ausfuhr_nach_Warengruppen_und_Warenuntergruppen">#REF!</definedName>
    <definedName name="_2.2.__Ausfuhr_nach_Erdteilen__Bestimmungsländern_und_Ländergruppen">#REF!</definedName>
    <definedName name="_3.1.__Einfuhr_nach_Warengruppen_und_Warenuntergruppen">#REF!</definedName>
    <definedName name="_3.2.__Einfuhr_nach_Erdteilen__Ursprungsländern_und_Ländergruppen">#REF!</definedName>
    <definedName name="_a1">#REF!</definedName>
    <definedName name="_Wkr249">#REF!</definedName>
    <definedName name="A_Start">#REF!</definedName>
    <definedName name="agggdafgdagd">#REF!</definedName>
    <definedName name="alt" hidden="1">{"'Prod 00j at (2)'!$A$5:$N$1224"}</definedName>
    <definedName name="alte" hidden="1">{"'Prod 00j at (2)'!$A$5:$N$1224"}</definedName>
    <definedName name="AST_Merkmal_Mig">[1]Rohdaten_AST!$B$4:$M$4</definedName>
    <definedName name="AST_Merkmal_Mig_2">[1]Rohdaten_AST_2!$B$4:$M$4</definedName>
    <definedName name="AST_Personenmerkmale_1">[1]Rohdaten_AST!$B$3:$HU$3</definedName>
    <definedName name="AST_Personenmerkmale_2">[1]Rohdaten_AST_2!$B$3:$AL$3</definedName>
    <definedName name="AST_Rechtskreis">[1]Rohdaten_AST!$B$2:$IS$2</definedName>
    <definedName name="AST_Region">[1]Rohdaten_AST!$A$6:$A$439</definedName>
    <definedName name="AST_Region_2">[1]Rohdaten_AST_2!$A$6:$A$439</definedName>
    <definedName name="AST_Wertebereich_1">[1]Rohdaten_AST!$B$6:$IS$439</definedName>
    <definedName name="AST_wertebereich_2">[1]Rohdaten_AST_2!$B$6:$AL$439</definedName>
    <definedName name="at">#REF!</definedName>
    <definedName name="atv">#REF!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_ThemaK">#REF!</definedName>
    <definedName name="B_Wahlbez">#REF!</definedName>
    <definedName name="B_Zusammen">#REF!</definedName>
    <definedName name="Basis_1991_Beschäftigte">#REF!</definedName>
    <definedName name="Basis_1991_Umsatz">#REF!</definedName>
    <definedName name="Berlin">#REF!</definedName>
    <definedName name="Bez">#REF!</definedName>
    <definedName name="BVSITZ">[2]BVVMANDARB!$A$1:$DR$28</definedName>
    <definedName name="C_Datenträger">[3]Hilfe!#REF!</definedName>
    <definedName name="C_Navigieren">[3]Hilfe!#REF!</definedName>
    <definedName name="C_Progr">[3]Hilfe!#REF!</definedName>
    <definedName name="ccc">#REF!</definedName>
    <definedName name="D_Datenträger">#REF!</definedName>
    <definedName name="D_Ende">#REF!</definedName>
    <definedName name="D_Erläut">#REF!</definedName>
    <definedName name="D_I">#REF!</definedName>
    <definedName name="D_Liste">#REF!</definedName>
    <definedName name="D_MethHinw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>#REF!</definedName>
    <definedName name="datenbank1">#REF!</definedName>
    <definedName name="datenbank2">#REF!</definedName>
    <definedName name="dbank">#REF!</definedName>
    <definedName name="DBEV_V">[4]Bev1Druck!#REF!</definedName>
    <definedName name="Druckbereich1">#REF!</definedName>
    <definedName name="Druckbereich1.1">#REF!</definedName>
    <definedName name="Druckbereich11">#REF!</definedName>
    <definedName name="druckbereich12">#REF!</definedName>
    <definedName name="Druckbereich4">#REF!</definedName>
    <definedName name="Erläuterungen" hidden="1">{"'Prod 00j at (2)'!$A$5:$N$1224"}</definedName>
    <definedName name="FST_Maßnahme">[1]Rohdaten_FST!$B$3:$BU$3</definedName>
    <definedName name="FST_Merkmal_Mig">[1]Rohdaten_FST!$B$5:$M$5</definedName>
    <definedName name="FST_Rechtskreis">[1]Rohdaten_FST!$B$4:$AK$4</definedName>
    <definedName name="FST_Region">[1]Rohdaten_FST!$A$7:$A$440</definedName>
    <definedName name="FST_Wertebereich">[1]Rohdaten_FST!$B$7:$BU$440</definedName>
    <definedName name="gewAbgeo" localSheetId="0">[5]!gewAbgeo</definedName>
    <definedName name="gewAbgeo">[5]!gewAbgeo</definedName>
    <definedName name="Haf">'[6]Tabelle 8.5 - 8.7'!$H$77</definedName>
    <definedName name="HTML_CodePage" hidden="1">1252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>#REF!</definedName>
    <definedName name="Kartoffel">'[7]alle Sorten'!$I$437</definedName>
    <definedName name="KH_D_SORT">#REF!</definedName>
    <definedName name="Komplikationen_der_Schwan_gerschaft__der_Entbindung_und_im_Wochenbett">#REF!</definedName>
    <definedName name="LST_ALG_Merkmal_Mig">[1]Rohdaten_LST_ALG!$B$3:$M$3</definedName>
    <definedName name="LST_ALG_Region">[1]Rohdaten_LST_ALG!$A$4:$A$437</definedName>
    <definedName name="LST_ALG_Wertebereich">[1]Rohdaten_LST_ALG!$B$4:$M$437</definedName>
    <definedName name="LST_eLb_Merkmal_Mig">[1]Rohdaten_LST_eLb!$B$5:$M$5</definedName>
    <definedName name="LST_eLb_Personenmerkmal">[1]Rohdaten_LST_eLb!$B$4:$DQ$4</definedName>
    <definedName name="LST_eLb_Region">[1]Rohdaten_LST_eLb!$A$6:$A$439</definedName>
    <definedName name="LST_eLb_Wertebereich">[1]Rohdaten_LST_eLb!$B$6:$DQ$439</definedName>
    <definedName name="männlcih">#REF!</definedName>
    <definedName name="männlich">#REF!</definedName>
    <definedName name="nepp" hidden="1">{"'Prod 00j at (2)'!$A$5:$N$1224"}</definedName>
    <definedName name="neu" hidden="1">{"'Prod 00j at (2)'!$A$5:$N$1224"}</definedName>
    <definedName name="neue" hidden="1">{"'Prod 00j at (2)'!$A$5:$N$1224"}</definedName>
    <definedName name="neuer" hidden="1">{"'Prod 00j at (2)'!$A$5:$N$1224"}</definedName>
    <definedName name="neues" hidden="1">{"'Prod 00j at (2)'!$A$5:$N$1224"}</definedName>
    <definedName name="öllöl">#REF!</definedName>
    <definedName name="PLZüberStadtbezText">#REF!</definedName>
    <definedName name="qqq">#REF!</definedName>
    <definedName name="RefWZ08">#REF!</definedName>
    <definedName name="RH_D_SORT">#REF!</definedName>
    <definedName name="Ro">'[6]Tabelle 8.5 - 8.7'!$H$74</definedName>
    <definedName name="saf">#REF!</definedName>
    <definedName name="SatzMax" hidden="1">24</definedName>
    <definedName name="SatzPos" hidden="1">1</definedName>
    <definedName name="Schl_ICD9_Shortlist">#REF!</definedName>
    <definedName name="scv" hidden="1">{"'Prod 00j at (2)'!$A$5:$N$1224"}</definedName>
    <definedName name="Sog">'[6]Tabelle 8.5 - 8.7'!$H$76</definedName>
    <definedName name="TAB12NEU" hidden="1">{"'Prod 00j at (2)'!$A$5:$N$1224"}</definedName>
    <definedName name="Titel1">[8]Erst94!#REF!</definedName>
    <definedName name="Trit">'[6]Tabelle 8.5 - 8.7'!$H$78</definedName>
    <definedName name="U4a">[9]T7E!#REF!</definedName>
    <definedName name="vö">#REF!</definedName>
    <definedName name="vor_neu" hidden="1">{"'Prod 00j at (2)'!$A$5:$N$1224"}</definedName>
    <definedName name="VPMPGP2002WZ2003_StLÄ_Stand_12092002">#REF!</definedName>
    <definedName name="VPMPUMST_GP95_GP2002_Stand_101001">#REF!</definedName>
    <definedName name="Weiz">[10]Verwendungszweck!$J$64</definedName>
    <definedName name="Wig">'[6]Tabelle 8.5 - 8.7'!$H$75</definedName>
    <definedName name="Wir">'[6]Tabelle 8.5 - 8.7'!$H$80</definedName>
    <definedName name="Wkrkarte">#REF!</definedName>
    <definedName name="wrn.Bestellformular." hidden="1">{#N/A,#N/A,FALSE,"Bestellformular"}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xyc">#REF!</definedName>
    <definedName name="yy">#REF!</definedName>
    <definedName name="_xlnm.Extract">[9]T7E!#REF!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3" l="1"/>
  <c r="E11" i="3" s="1"/>
  <c r="K10" i="3"/>
  <c r="B10" i="3" s="1"/>
  <c r="E10" i="3"/>
  <c r="D10" i="3"/>
  <c r="C10" i="3"/>
  <c r="K9" i="3"/>
  <c r="E9" i="3" s="1"/>
  <c r="C9" i="3"/>
  <c r="B9" i="3"/>
  <c r="K8" i="3"/>
  <c r="D8" i="3" s="1"/>
  <c r="E8" i="3"/>
  <c r="D11" i="3" l="1"/>
  <c r="D9" i="3"/>
  <c r="B11" i="3"/>
  <c r="B8" i="3"/>
  <c r="C11" i="3"/>
  <c r="C8" i="3"/>
</calcChain>
</file>

<file path=xl/sharedStrings.xml><?xml version="1.0" encoding="utf-8"?>
<sst xmlns="http://schemas.openxmlformats.org/spreadsheetml/2006/main" count="26" uniqueCount="17">
  <si>
    <t>Absolutwerte für 2024 mit MH in Niedersachsen:</t>
  </si>
  <si>
    <t>Insgesamt</t>
  </si>
  <si>
    <t>Davon:</t>
  </si>
  <si>
    <t>mit beruflichem Bildungsabschluss</t>
  </si>
  <si>
    <t>Lehre/Berufsausbildung</t>
  </si>
  <si>
    <t>Fachschulabschluss</t>
  </si>
  <si>
    <t>Studium (einschl. Promotion)</t>
  </si>
  <si>
    <t>ohne beruflichen Bildungsabschluss</t>
  </si>
  <si>
    <t>in schulischer/beruflicher Bildung</t>
  </si>
  <si>
    <t>nicht in schulischer/beruflicher Bildung</t>
  </si>
  <si>
    <t>berufl. Bildungsabschluss</t>
  </si>
  <si>
    <t>ohne beruflichen Abschluss</t>
  </si>
  <si>
    <t>2024 ohne Migrationshintergrund (NI)</t>
  </si>
  <si>
    <t>2021 mit Migrationshintergrund (NI)</t>
  </si>
  <si>
    <t>2024 mit Migrationshintergrund (NI)</t>
  </si>
  <si>
    <t>2024 mit Migrationshintergrund (DE)</t>
  </si>
  <si>
    <t>Quelle: Landesamt für Statistik Niedersachsen - Mikrozensus 2024 (Erstergebnis)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</si>
</sst>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left" indent="1"/>
    </xf>
    <xf numFmtId="0" fontId="3" fillId="0" borderId="0" xfId="0" applyFont="1"/>
    <xf numFmtId="3" fontId="3" fillId="0" borderId="0" xfId="0" applyNumberFormat="1" applyFont="1"/>
    <xf numFmtId="3" fontId="1" fillId="0" borderId="0" xfId="0" applyNumberFormat="1" applyFont="1"/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1" xfId="0" applyFont="1" applyBorder="1" applyAlignment="1">
      <alignment horizontal="left" indent="2"/>
    </xf>
    <xf numFmtId="3" fontId="1" fillId="0" borderId="1" xfId="0" applyNumberFormat="1" applyFont="1" applyBorder="1"/>
    <xf numFmtId="0" fontId="4" fillId="0" borderId="0" xfId="0" applyFon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 sz="900" b="0">
                <a:latin typeface=" NDSFrutiger 55 Roman"/>
              </a:rPr>
              <a:t>2.4 Anteil der Bevölkerung ab 15 Jahren in Niedersachsen</a:t>
            </a:r>
            <a:r>
              <a:rPr lang="de-DE" sz="900" b="0" baseline="0">
                <a:latin typeface=" NDSFrutiger 55 Roman"/>
              </a:rPr>
              <a:t> und Deutschland 2021 und 2024</a:t>
            </a:r>
            <a:r>
              <a:rPr lang="de-DE" sz="900" b="0">
                <a:latin typeface=" NDSFrutiger 55 Roman"/>
              </a:rPr>
              <a:t> nach Migrationshintergrund</a:t>
            </a:r>
            <a:r>
              <a:rPr lang="de-DE" sz="900" b="0" baseline="0">
                <a:latin typeface=" NDSFrutiger 55 Roman"/>
              </a:rPr>
              <a:t> und beruflichen Bildungsabschluss in Prozent</a:t>
            </a:r>
            <a:r>
              <a:rPr lang="de-DE" sz="900" b="0">
                <a:latin typeface=" NDSFrutiger 55 Roman"/>
              </a:rPr>
              <a:t> </a:t>
            </a:r>
          </a:p>
        </c:rich>
      </c:tx>
      <c:layout>
        <c:manualLayout>
          <c:xMode val="edge"/>
          <c:yMode val="edge"/>
          <c:x val="1.155742142606124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1.7691998391636508E-2"/>
          <c:y val="0.13880772460117549"/>
          <c:w val="0.95806299845812426"/>
          <c:h val="0.7065208368936306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[11]Daten!$A$126</c:f>
              <c:strCache>
                <c:ptCount val="1"/>
                <c:pt idx="0">
                  <c:v>2021 mit Migrationshintergrund (NI)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[11]Daten!$B$124:$E$124</c:f>
              <c:strCache>
                <c:ptCount val="4"/>
                <c:pt idx="0">
                  <c:v>Lehre/Berufsausbildung</c:v>
                </c:pt>
                <c:pt idx="1">
                  <c:v>Fachschulabschluss</c:v>
                </c:pt>
                <c:pt idx="2">
                  <c:v>Studium (einschl. Promotion)</c:v>
                </c:pt>
                <c:pt idx="3">
                  <c:v>ohne beruflichen Bildungsabschluss</c:v>
                </c:pt>
              </c:strCache>
            </c:strRef>
          </c:cat>
          <c:val>
            <c:numRef>
              <c:f>[11]Daten!$B$126:$E$126</c:f>
              <c:numCache>
                <c:formatCode>General</c:formatCode>
                <c:ptCount val="4"/>
                <c:pt idx="0">
                  <c:v>27.083592552849517</c:v>
                </c:pt>
                <c:pt idx="1">
                  <c:v>7.3565881341826973</c:v>
                </c:pt>
                <c:pt idx="2">
                  <c:v>14.51129987194645</c:v>
                </c:pt>
                <c:pt idx="3">
                  <c:v>51.048519441021334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3-43A6-8703-FB9B957B4DD6}"/>
            </c:ext>
          </c:extLst>
        </c:ser>
        <c:ser>
          <c:idx val="0"/>
          <c:order val="1"/>
          <c:tx>
            <c:strRef>
              <c:f>[11]Daten!$A$127</c:f>
              <c:strCache>
                <c:ptCount val="1"/>
                <c:pt idx="0">
                  <c:v>2024 mit Migrationshintergrund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 rtl="0">
                  <a:defRPr lang="en-US" sz="800" b="0" i="0" u="none" strike="noStrike" kern="1200" baseline="0">
                    <a:solidFill>
                      <a:sysClr val="window" lastClr="FFFFFF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[11]Daten!$B$124:$E$124</c:f>
              <c:strCache>
                <c:ptCount val="4"/>
                <c:pt idx="0">
                  <c:v>Lehre/Berufsausbildung</c:v>
                </c:pt>
                <c:pt idx="1">
                  <c:v>Fachschulabschluss</c:v>
                </c:pt>
                <c:pt idx="2">
                  <c:v>Studium (einschl. Promotion)</c:v>
                </c:pt>
                <c:pt idx="3">
                  <c:v>ohne beruflichen Bildungsabschluss</c:v>
                </c:pt>
              </c:strCache>
            </c:strRef>
          </c:cat>
          <c:val>
            <c:numRef>
              <c:f>[11]Daten!$B$127:$E$127</c:f>
              <c:numCache>
                <c:formatCode>General</c:formatCode>
                <c:ptCount val="4"/>
                <c:pt idx="0">
                  <c:v>25.187677351335267</c:v>
                </c:pt>
                <c:pt idx="1">
                  <c:v>9.0052932792539657</c:v>
                </c:pt>
                <c:pt idx="2">
                  <c:v>16.948859644291034</c:v>
                </c:pt>
                <c:pt idx="3">
                  <c:v>48.858169725119716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3-43A6-8703-FB9B957B4DD6}"/>
            </c:ext>
          </c:extLst>
        </c:ser>
        <c:ser>
          <c:idx val="1"/>
          <c:order val="2"/>
          <c:tx>
            <c:strRef>
              <c:f>[11]Daten!$A$125</c:f>
              <c:strCache>
                <c:ptCount val="1"/>
                <c:pt idx="0">
                  <c:v>2024 ohne Migrationshintergrund (NI)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 rtl="0">
                  <a:defRPr lang="en-US" sz="800" b="0" i="0" u="none" strike="noStrike" kern="1200" baseline="0">
                    <a:solidFill>
                      <a:sysClr val="window" lastClr="FFFFFF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[11]Daten!$B$124:$E$124</c:f>
              <c:strCache>
                <c:ptCount val="4"/>
                <c:pt idx="0">
                  <c:v>Lehre/Berufsausbildung</c:v>
                </c:pt>
                <c:pt idx="1">
                  <c:v>Fachschulabschluss</c:v>
                </c:pt>
                <c:pt idx="2">
                  <c:v>Studium (einschl. Promotion)</c:v>
                </c:pt>
                <c:pt idx="3">
                  <c:v>ohne beruflichen Bildungsabschluss</c:v>
                </c:pt>
              </c:strCache>
            </c:strRef>
          </c:cat>
          <c:val>
            <c:numRef>
              <c:f>[11]Daten!$B$125:$E$125</c:f>
              <c:numCache>
                <c:formatCode>General</c:formatCode>
                <c:ptCount val="4"/>
                <c:pt idx="0">
                  <c:v>45.995764204576481</c:v>
                </c:pt>
                <c:pt idx="1">
                  <c:v>13.587385989198072</c:v>
                </c:pt>
                <c:pt idx="2">
                  <c:v>19.103090293766602</c:v>
                </c:pt>
                <c:pt idx="3">
                  <c:v>21.313759512458837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E3-43A6-8703-FB9B957B4DD6}"/>
            </c:ext>
          </c:extLst>
        </c:ser>
        <c:ser>
          <c:idx val="3"/>
          <c:order val="3"/>
          <c:tx>
            <c:strRef>
              <c:f>[11]Daten!$A$128</c:f>
              <c:strCache>
                <c:ptCount val="1"/>
                <c:pt idx="0">
                  <c:v>2024 mit Migrationshintergrund (DE)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800" b="0" i="0" u="none" strike="noStrike" kern="1200" baseline="0">
                    <a:solidFill>
                      <a:sysClr val="window" lastClr="FFFFFF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[11]Daten!$B$124:$E$124</c:f>
              <c:strCache>
                <c:ptCount val="4"/>
                <c:pt idx="0">
                  <c:v>Lehre/Berufsausbildung</c:v>
                </c:pt>
                <c:pt idx="1">
                  <c:v>Fachschulabschluss</c:v>
                </c:pt>
                <c:pt idx="2">
                  <c:v>Studium (einschl. Promotion)</c:v>
                </c:pt>
                <c:pt idx="3">
                  <c:v>ohne beruflichen Bildungsabschluss</c:v>
                </c:pt>
              </c:strCache>
            </c:strRef>
          </c:cat>
          <c:val>
            <c:numRef>
              <c:f>[11]Daten!$B$128:$E$128</c:f>
              <c:numCache>
                <c:formatCode>General</c:formatCode>
                <c:ptCount val="4"/>
                <c:pt idx="0">
                  <c:v>25.295724112853147</c:v>
                </c:pt>
                <c:pt idx="1">
                  <c:v>7.6124339758268</c:v>
                </c:pt>
                <c:pt idx="2">
                  <c:v>20.241096497337729</c:v>
                </c:pt>
                <c:pt idx="3">
                  <c:v>46.850745413982317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E3-43A6-8703-FB9B957B4D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758706464"/>
        <c:axId val="758709416"/>
      </c:barChart>
      <c:catAx>
        <c:axId val="7587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NDSFrutiger Light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758709416"/>
        <c:crosses val="autoZero"/>
        <c:auto val="1"/>
        <c:lblAlgn val="ctr"/>
        <c:lblOffset val="100"/>
        <c:noMultiLvlLbl val="0"/>
      </c:catAx>
      <c:valAx>
        <c:axId val="7587094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7587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608331829450148E-2"/>
          <c:y val="0.9123963444902875"/>
          <c:w val="0.8999999366786029"/>
          <c:h val="4.6263518957056715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NDSFrutiger Light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263769</xdr:colOff>
      <xdr:row>0</xdr:row>
      <xdr:rowOff>14652</xdr:rowOff>
    </xdr:from>
    <xdr:to>
      <xdr:col>10</xdr:col>
      <xdr:colOff>539994</xdr:colOff>
      <xdr:row>22</xdr:row>
      <xdr:rowOff>124557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33F99A6-5015-4B63-A10E-E7E524C79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601445</xdr:colOff>
      <xdr:row>1</xdr:row>
      <xdr:rowOff>15292</xdr:rowOff>
    </xdr:from>
    <xdr:to>
      <xdr:col>20</xdr:col>
      <xdr:colOff>186659</xdr:colOff>
      <xdr:row>4</xdr:row>
      <xdr:rowOff>58614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E323759-8171-4CBD-ACFA-B7C5561B05BB}"/>
            </a:ext>
          </a:extLst>
        </xdr:cNvPr>
        <xdr:cNvSpPr txBox="1"/>
      </xdr:nvSpPr>
      <xdr:spPr>
        <a:xfrm>
          <a:off x="8221445" y="205792"/>
          <a:ext cx="9796014" cy="6148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Bei Personen mit Migrationshintergrund lag der Anteil mit Lehre/Berufsbildung mit 25,2 % deutlich unter dem Anteil der Personen ohne Migrationshintergrund (46,0 %).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Knapp jede zweite Person mit Migrationshintergrund (48,9 %) hatte 2024 keinen beruflichen Bildungsabschluss.    </a:t>
          </a:r>
        </a:p>
        <a:p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227135</xdr:colOff>
      <xdr:row>21</xdr:row>
      <xdr:rowOff>168804</xdr:rowOff>
    </xdr:from>
    <xdr:to>
      <xdr:col>6</xdr:col>
      <xdr:colOff>380538</xdr:colOff>
      <xdr:row>23</xdr:row>
      <xdr:rowOff>140503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8CD3AE5B-4E55-40C5-B0A6-D3E0AD8E438F}"/>
            </a:ext>
          </a:extLst>
        </xdr:cNvPr>
        <xdr:cNvSpPr txBox="1"/>
      </xdr:nvSpPr>
      <xdr:spPr>
        <a:xfrm>
          <a:off x="227135" y="4169304"/>
          <a:ext cx="4725403" cy="352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</a:t>
          </a:r>
          <a:r>
            <a:rPr lang="de-DE" sz="600" baseline="0">
              <a:latin typeface="NDSFrutiger Light"/>
            </a:rPr>
            <a:t> </a:t>
          </a:r>
          <a:r>
            <a:rPr lang="de-DE" sz="600">
              <a:latin typeface="NDSFrutiger Light"/>
            </a:rPr>
            <a:t>- Mikrozensus (Endergebnis 2021</a:t>
          </a:r>
          <a:r>
            <a:rPr lang="de-DE" sz="600" baseline="0">
              <a:latin typeface="NDSFrutiger Light"/>
            </a:rPr>
            <a:t> und </a:t>
          </a:r>
          <a:r>
            <a:rPr lang="de-DE" sz="600">
              <a:latin typeface="NDSFrutiger Light"/>
            </a:rPr>
            <a:t>Erstergebnis 2024) 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0.19476</cdr:x>
      <cdr:y>0.68939</cdr:y>
    </cdr:from>
    <cdr:to>
      <cdr:x>0.2859</cdr:x>
      <cdr:y>0.98043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47394537-4AF7-46D0-B3F3-6C92A66CBA0D}"/>
            </a:ext>
          </a:extLst>
        </cdr:cNvPr>
        <cdr:cNvSpPr txBox="1"/>
      </cdr:nvSpPr>
      <cdr:spPr>
        <a:xfrm xmlns:a="http://schemas.openxmlformats.org/drawingml/2006/main">
          <a:off x="1262063" y="2233613"/>
          <a:ext cx="590550" cy="942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DE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.nrw.de\dfs-grp\Ref542\VV\PROJEKTE\Integrationsberichterstattung\1_Portale\1_Nrw\1_Daten\3_Rohdaten_nicht%20SPSS\E8_SGB%20II-Quoten\Elb_MigH_2013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a_wahlAGH99\Aggregat\aghar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Sonst\DRUCK-ZI\Wahl_cd\BUNDES~1\Bundestagswahl_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_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temp/GWViewer/CII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Fabig/Abschlussbericht%20neu20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LAGE\IIA\1BEV\USER\REFERENT\A_WAHL98\CD\EXCEL05\BW98WBEZ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IB\1_BS\BS95\STATBE95\7_OF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lvnbb.de/STATIST/D223/DEZORG/BODEN/R&#196;CK/BEE/BERICHT/Abschlussbericht%20neu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bb3_5_MH_Erwerbslose_Alter__Arbe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hdaten_AST"/>
      <sheetName val="Rohdaten_AST_2"/>
      <sheetName val="Rohdaten_FST"/>
      <sheetName val="Rohdaten_LST_ALG"/>
      <sheetName val="Rohdaten_LST_eLb"/>
      <sheetName val="Datenqualität_aggregiert"/>
      <sheetName val="FST_Plausi_Fußnoten"/>
      <sheetName val="STRG"/>
      <sheetName val="Deckblatt"/>
      <sheetName val="Impressum"/>
      <sheetName val="Inhaltsverzeichnis"/>
      <sheetName val="Hinweis_Migrationshintergrund"/>
      <sheetName val="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5"/>
      <sheetName val="4.1"/>
      <sheetName val="4.2"/>
      <sheetName val="5.1"/>
      <sheetName val="5.2"/>
      <sheetName val="5.3"/>
      <sheetName val="5.4"/>
      <sheetName val="5.5"/>
      <sheetName val="5.6"/>
      <sheetName val="Glossar_Migrationshintergrund"/>
      <sheetName val="Statistik-Infose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VVMANDARB"/>
      <sheetName val="Parteien"/>
      <sheetName val="Region"/>
      <sheetName val="Neue Bez"/>
      <sheetName val="MoPo1"/>
      <sheetName val="MoPo2"/>
      <sheetName val="MoPo3"/>
      <sheetName val="MoPo3a"/>
      <sheetName val="MoPoWK2"/>
      <sheetName val="MoPoWK1"/>
      <sheetName val="Kurier1"/>
      <sheetName val="Kurier2"/>
      <sheetName val="Kurier3"/>
      <sheetName val="Kurier3a"/>
      <sheetName val="BerlZ1"/>
      <sheetName val="BerlZ2"/>
      <sheetName val="BerlZ4"/>
      <sheetName val="BerlZ4a"/>
      <sheetName val="BerlZ5"/>
      <sheetName val="BerlZ6"/>
      <sheetName val="Welt1"/>
      <sheetName val="Welt2"/>
      <sheetName val="Welt3"/>
      <sheetName val="Welt4"/>
      <sheetName val="Welt5"/>
      <sheetName val="TSP1"/>
      <sheetName val="TSP2"/>
      <sheetName val="TSP3"/>
      <sheetName val="Tabelle3"/>
      <sheetName val="KAStif2"/>
      <sheetName val="KASti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"/>
      <sheetName val="Hilfe"/>
      <sheetName val="Wahlvor"/>
      <sheetName val="Modul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W98_05"/>
    </sheetNames>
    <definedNames>
      <definedName name="gewAbgeo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FettWraps"/>
      <sheetName val="Verwendungszweck"/>
      <sheetName val="haErtr.Wraps"/>
      <sheetName val="SchwarzbWraps"/>
      <sheetName val="FeuchtWraps"/>
      <sheetName val="FG SB,Fett Wraps"/>
      <sheetName val="Stand.fehlerKart."/>
      <sheetName val="Oeko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A,EM,Ertr. Feldfrüchte2005"/>
      <sheetName val="Kartsorten03bis05"/>
      <sheetName val="Sorten"/>
      <sheetName val="Vorfrüchte"/>
      <sheetName val="zeitl. Ablauf Getr."/>
      <sheetName val="4.5.6AuEv. Getr.WrapsKart.05"/>
      <sheetName val="Ackerzahlen"/>
      <sheetName val="Tab.methHinw"/>
      <sheetName val="alle Sor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st94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7A"/>
      <sheetName val="T7B"/>
      <sheetName val="T7C"/>
      <sheetName val="T7D"/>
      <sheetName val="T7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ttWraps"/>
      <sheetName val="haErtr.Wraps"/>
      <sheetName val="SchwarzbWraps"/>
      <sheetName val="FeuchtWraps"/>
      <sheetName val="FG SB,Fett Wraps"/>
      <sheetName val="Stand.fehlerKart."/>
      <sheetName val="Kartfläche+erträge Bereg"/>
      <sheetName val="Eigenschaftsgruppen Kart"/>
      <sheetName val="zeitlAbl.Kart."/>
      <sheetName val="Stand.fehler"/>
      <sheetName val="Schwarzbes.Getr."/>
      <sheetName val="Auswuchs"/>
      <sheetName val="FeuchtigkeitGetr"/>
      <sheetName val="Feucht und FB Getr"/>
      <sheetName val="Verwendungszweck"/>
      <sheetName val="A,EM,Ertr. Feldfrüchte2005"/>
      <sheetName val="Sorten"/>
      <sheetName val="Vorfrüchte"/>
      <sheetName val="zeitl. Ablauf Getr."/>
      <sheetName val="4.5.6AuEv. Getr.WrapsKart.05"/>
      <sheetName val="Ackerzahlen"/>
      <sheetName val="alle Sorten"/>
      <sheetName val="Witterung05"/>
      <sheetName val="Oeko"/>
      <sheetName val="Kartsorten03bis05"/>
      <sheetName val="Tab.methHin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5"/>
      <sheetName val="Daten"/>
      <sheetName val="3.4"/>
    </sheetNames>
    <sheetDataSet>
      <sheetData sheetId="0"/>
      <sheetData sheetId="1">
        <row r="1">
          <cell r="B1" t="str">
            <v>unter 15</v>
          </cell>
        </row>
        <row r="124">
          <cell r="B124" t="str">
            <v>Lehre/Berufsausbildung</v>
          </cell>
          <cell r="C124" t="str">
            <v>Fachschulabschluss</v>
          </cell>
          <cell r="D124" t="str">
            <v>Studium (einschl. Promotion)</v>
          </cell>
          <cell r="E124" t="str">
            <v>ohne beruflichen Bildungsabschluss</v>
          </cell>
        </row>
        <row r="125">
          <cell r="A125" t="str">
            <v>2024 ohne Migrationshintergrund (NI)</v>
          </cell>
          <cell r="B125">
            <v>45.995764204576481</v>
          </cell>
          <cell r="C125">
            <v>13.587385989198072</v>
          </cell>
          <cell r="D125">
            <v>19.103090293766602</v>
          </cell>
          <cell r="E125">
            <v>21.313759512458837</v>
          </cell>
        </row>
        <row r="126">
          <cell r="A126" t="str">
            <v>2021 mit Migrationshintergrund (NI)</v>
          </cell>
          <cell r="B126">
            <v>27.083592552849517</v>
          </cell>
          <cell r="C126">
            <v>7.3565881341826973</v>
          </cell>
          <cell r="D126">
            <v>14.51129987194645</v>
          </cell>
          <cell r="E126">
            <v>51.048519441021334</v>
          </cell>
        </row>
        <row r="127">
          <cell r="A127" t="str">
            <v>2024 mit Migrationshintergrund (NI)</v>
          </cell>
          <cell r="B127">
            <v>25.187677351335267</v>
          </cell>
          <cell r="C127">
            <v>9.0052932792539657</v>
          </cell>
          <cell r="D127">
            <v>16.948859644291034</v>
          </cell>
          <cell r="E127">
            <v>48.858169725119716</v>
          </cell>
        </row>
        <row r="128">
          <cell r="A128" t="str">
            <v>2024 mit Migrationshintergrund (DE)</v>
          </cell>
          <cell r="B128">
            <v>25.295724112853147</v>
          </cell>
          <cell r="C128">
            <v>7.6124339758268</v>
          </cell>
          <cell r="D128">
            <v>20.241096497337729</v>
          </cell>
          <cell r="E128">
            <v>46.850745413982317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C4E0-D4F0-4A92-98E1-38BFE6872AA5}">
  <dimension ref="M13:N25"/>
  <sheetViews>
    <sheetView tabSelected="1" zoomScale="130" zoomScaleNormal="130" workbookViewId="0">
      <selection activeCell="I28" sqref="I28"/>
    </sheetView>
  </sheetViews>
  <sheetFormatPr baseColWidth="10" defaultRowHeight="15" x14ac:dyDescent="0.25"/>
  <cols>
    <col min="13" max="13" width="50.28515625" customWidth="1"/>
  </cols>
  <sheetData>
    <row r="13" spans="13:14" x14ac:dyDescent="0.25">
      <c r="M13" s="1" t="s">
        <v>0</v>
      </c>
      <c r="N13" s="1"/>
    </row>
    <row r="14" spans="13:14" x14ac:dyDescent="0.25">
      <c r="M14" s="6" t="s">
        <v>1</v>
      </c>
      <c r="N14" s="7">
        <v>1625000</v>
      </c>
    </row>
    <row r="15" spans="13:14" x14ac:dyDescent="0.25">
      <c r="M15" s="2" t="s">
        <v>2</v>
      </c>
      <c r="N15" s="8"/>
    </row>
    <row r="16" spans="13:14" x14ac:dyDescent="0.25">
      <c r="M16" s="9" t="s">
        <v>3</v>
      </c>
      <c r="N16" s="7">
        <v>831000</v>
      </c>
    </row>
    <row r="17" spans="13:14" x14ac:dyDescent="0.25">
      <c r="M17" s="5" t="s">
        <v>2</v>
      </c>
    </row>
    <row r="18" spans="13:14" x14ac:dyDescent="0.25">
      <c r="M18" s="10" t="s">
        <v>4</v>
      </c>
      <c r="N18" s="8">
        <v>409000</v>
      </c>
    </row>
    <row r="19" spans="13:14" x14ac:dyDescent="0.25">
      <c r="M19" s="10" t="s">
        <v>5</v>
      </c>
      <c r="N19" s="8">
        <v>146000</v>
      </c>
    </row>
    <row r="20" spans="13:14" x14ac:dyDescent="0.25">
      <c r="M20" s="10" t="s">
        <v>6</v>
      </c>
      <c r="N20" s="8">
        <v>275000</v>
      </c>
    </row>
    <row r="21" spans="13:14" x14ac:dyDescent="0.25">
      <c r="M21" s="9" t="s">
        <v>7</v>
      </c>
      <c r="N21" s="7">
        <v>794000</v>
      </c>
    </row>
    <row r="22" spans="13:14" x14ac:dyDescent="0.25">
      <c r="M22" s="5" t="s">
        <v>2</v>
      </c>
    </row>
    <row r="23" spans="13:14" x14ac:dyDescent="0.25">
      <c r="M23" s="10" t="s">
        <v>8</v>
      </c>
      <c r="N23" s="8">
        <v>190000</v>
      </c>
    </row>
    <row r="24" spans="13:14" x14ac:dyDescent="0.25">
      <c r="M24" s="11" t="s">
        <v>9</v>
      </c>
      <c r="N24" s="12">
        <v>603000</v>
      </c>
    </row>
    <row r="25" spans="13:14" x14ac:dyDescent="0.25">
      <c r="M25" s="13" t="s">
        <v>16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7:K11"/>
  <sheetViews>
    <sheetView topLeftCell="A7" workbookViewId="0">
      <selection activeCell="H24" sqref="H24"/>
    </sheetView>
  </sheetViews>
  <sheetFormatPr baseColWidth="10" defaultRowHeight="15" x14ac:dyDescent="0.25"/>
  <cols>
    <col min="2" max="5" width="11.5703125" bestFit="1" customWidth="1"/>
    <col min="7" max="10" width="11.5703125" bestFit="1" customWidth="1"/>
    <col min="11" max="11" width="12.5703125" bestFit="1" customWidth="1"/>
  </cols>
  <sheetData>
    <row r="7" spans="1:11" x14ac:dyDescent="0.25">
      <c r="A7" s="3" t="s">
        <v>10</v>
      </c>
      <c r="B7" t="s">
        <v>4</v>
      </c>
      <c r="C7" t="s">
        <v>5</v>
      </c>
      <c r="D7" t="s">
        <v>6</v>
      </c>
      <c r="E7" t="s">
        <v>7</v>
      </c>
      <c r="G7" t="s">
        <v>4</v>
      </c>
      <c r="H7" t="s">
        <v>5</v>
      </c>
      <c r="I7" t="s">
        <v>6</v>
      </c>
      <c r="J7" t="s">
        <v>11</v>
      </c>
    </row>
    <row r="8" spans="1:11" x14ac:dyDescent="0.25">
      <c r="A8" s="4" t="s">
        <v>12</v>
      </c>
      <c r="B8" s="14">
        <f>G8/K8*100</f>
        <v>45.995764204576481</v>
      </c>
      <c r="C8" s="14">
        <f>H8/K8*100</f>
        <v>13.587385989198072</v>
      </c>
      <c r="D8" s="14">
        <f>I8/K8*100</f>
        <v>19.103090293766602</v>
      </c>
      <c r="E8" s="14">
        <f>J8/K8*100</f>
        <v>21.313759512458837</v>
      </c>
      <c r="F8" s="14"/>
      <c r="G8" s="14">
        <v>2379.2894609999998</v>
      </c>
      <c r="H8" s="14">
        <v>702.85437899999999</v>
      </c>
      <c r="I8" s="14">
        <v>988.17319799999996</v>
      </c>
      <c r="J8" s="14">
        <v>1102.5276839999999</v>
      </c>
      <c r="K8" s="14">
        <f>SUM(G8:J8)</f>
        <v>5172.8447219999998</v>
      </c>
    </row>
    <row r="9" spans="1:11" x14ac:dyDescent="0.25">
      <c r="A9" s="4" t="s">
        <v>13</v>
      </c>
      <c r="B9" s="14">
        <f>G9/K9*100</f>
        <v>27.083592552849517</v>
      </c>
      <c r="C9" s="14">
        <f>H9/K9*100</f>
        <v>7.3565881341826973</v>
      </c>
      <c r="D9" s="14">
        <f>I9/K9*100</f>
        <v>14.51129987194645</v>
      </c>
      <c r="E9" s="14">
        <f>J9/K9*100</f>
        <v>51.048519441021334</v>
      </c>
      <c r="F9" s="14"/>
      <c r="G9" s="14">
        <v>383.10028399999999</v>
      </c>
      <c r="H9" s="14">
        <v>104.059718</v>
      </c>
      <c r="I9" s="14">
        <v>205.26387299999999</v>
      </c>
      <c r="J9" s="14">
        <v>722.08671200000003</v>
      </c>
      <c r="K9" s="14">
        <f>SUM(G9:J9)</f>
        <v>1414.510587</v>
      </c>
    </row>
    <row r="10" spans="1:11" x14ac:dyDescent="0.25">
      <c r="A10" s="4" t="s">
        <v>14</v>
      </c>
      <c r="B10" s="14">
        <f>G10/K10*100</f>
        <v>25.187677351335267</v>
      </c>
      <c r="C10" s="14">
        <f>H10/K10*100</f>
        <v>9.0052932792539657</v>
      </c>
      <c r="D10" s="14">
        <f>I10/K10*100</f>
        <v>16.948859644291034</v>
      </c>
      <c r="E10" s="14">
        <f>J10/K10*100</f>
        <v>48.858169725119716</v>
      </c>
      <c r="F10" s="14"/>
      <c r="G10" s="14">
        <v>409.21953999999999</v>
      </c>
      <c r="H10" s="14">
        <v>146.30733599999999</v>
      </c>
      <c r="I10" s="14">
        <v>275.36499099999997</v>
      </c>
      <c r="J10" s="14">
        <v>793.78965600000004</v>
      </c>
      <c r="K10" s="14">
        <f>SUM(G10:J10)</f>
        <v>1624.6815230000002</v>
      </c>
    </row>
    <row r="11" spans="1:11" x14ac:dyDescent="0.25">
      <c r="A11" s="4" t="s">
        <v>15</v>
      </c>
      <c r="B11" s="14">
        <f>G11/K11*100</f>
        <v>25.295724112853147</v>
      </c>
      <c r="C11" s="14">
        <f>H11/K11*100</f>
        <v>7.6124339758268</v>
      </c>
      <c r="D11" s="14">
        <f>I11/K11*100</f>
        <v>20.241096497337729</v>
      </c>
      <c r="E11" s="14">
        <f>J11/K11*100</f>
        <v>46.850745413982317</v>
      </c>
      <c r="F11" s="14"/>
      <c r="G11" s="14">
        <v>5107.106436</v>
      </c>
      <c r="H11" s="14">
        <v>1536.920247</v>
      </c>
      <c r="I11" s="14">
        <v>4086.5971549999999</v>
      </c>
      <c r="J11" s="14">
        <v>9458.9798009999995</v>
      </c>
      <c r="K11" s="14">
        <f>SUM(G11:J11)</f>
        <v>20189.603639000001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2.4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2025-07-17T08:56:56Z</dcterms:modified>
</cp:coreProperties>
</file>