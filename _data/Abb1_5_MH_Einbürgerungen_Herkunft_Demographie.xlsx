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8AAEE0A0-E4A3-4D56-8668-A878C020C7F4}" xr6:coauthVersionLast="47" xr6:coauthVersionMax="47" xr10:uidLastSave="{00000000-0000-0000-0000-000000000000}"/>
  <bookViews>
    <workbookView xWindow="28680" yWindow="-60" windowWidth="29040" windowHeight="17520" xr2:uid="{4604E55D-1BCD-43C7-860B-AC40FE28E76F}"/>
  </bookViews>
  <sheets>
    <sheet name="1.5" sheetId="2" r:id="rId1"/>
    <sheet name="Daten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D9" i="3"/>
  <c r="G8" i="3"/>
  <c r="D8" i="3"/>
  <c r="K5" i="3"/>
  <c r="J5" i="3"/>
  <c r="I5" i="3"/>
  <c r="H5" i="3"/>
  <c r="G5" i="3"/>
  <c r="F5" i="3"/>
  <c r="E5" i="3"/>
  <c r="D5" i="3"/>
  <c r="C5" i="3"/>
  <c r="B5" i="3"/>
  <c r="L4" i="3"/>
  <c r="L5" i="3" s="1"/>
  <c r="L3" i="3"/>
  <c r="K3" i="3"/>
  <c r="J3" i="3"/>
  <c r="I3" i="3"/>
  <c r="H3" i="3"/>
  <c r="G3" i="3"/>
  <c r="F3" i="3"/>
  <c r="E3" i="3"/>
  <c r="D3" i="3"/>
  <c r="C3" i="3"/>
  <c r="B3" i="3"/>
  <c r="L2" i="3"/>
  <c r="M3" i="3" l="1"/>
  <c r="M5" i="3"/>
</calcChain>
</file>

<file path=xl/sharedStrings.xml><?xml version="1.0" encoding="utf-8"?>
<sst xmlns="http://schemas.openxmlformats.org/spreadsheetml/2006/main" count="36" uniqueCount="25">
  <si>
    <t>Absolutwerte für 2024 in Niedersachsen:</t>
  </si>
  <si>
    <t>Einbürgerungen insgesamt</t>
  </si>
  <si>
    <t>Darunter:</t>
  </si>
  <si>
    <t>Syrien</t>
  </si>
  <si>
    <t>Irak</t>
  </si>
  <si>
    <t>Türkei</t>
  </si>
  <si>
    <t>Russische Föderation</t>
  </si>
  <si>
    <t>Afghanistan</t>
  </si>
  <si>
    <t>Iran</t>
  </si>
  <si>
    <t>Polen</t>
  </si>
  <si>
    <t>Ukraine</t>
  </si>
  <si>
    <t>Rumänien</t>
  </si>
  <si>
    <t>Serbien</t>
  </si>
  <si>
    <t>2021 (NI)</t>
  </si>
  <si>
    <t>2024 (NI)</t>
  </si>
  <si>
    <t>Einbürgerungen</t>
  </si>
  <si>
    <t>Sonstige</t>
  </si>
  <si>
    <t>NI</t>
  </si>
  <si>
    <t>Ausländerinnen und Ausländer</t>
  </si>
  <si>
    <t>Prozent</t>
  </si>
  <si>
    <t>DE</t>
  </si>
  <si>
    <t>Ausländerinnen u. Ausländer</t>
  </si>
  <si>
    <t>Niedersachsen</t>
  </si>
  <si>
    <t>Deutschland</t>
  </si>
  <si>
    <t>Quelle: Landesamt für Statistik Niedersachsen - Einbürgerungsstatistik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</si>
</sst>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6"/>
      <color rgb="FF000000"/>
      <name val="NDSFrutiger Light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 indent="1"/>
    </xf>
    <xf numFmtId="0" fontId="1" fillId="0" borderId="1" xfId="0" applyFont="1" applyBorder="1" applyAlignment="1">
      <alignment horizontal="left" indent="1"/>
    </xf>
    <xf numFmtId="3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0" fontId="5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900" b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1.5 Anteil der </a:t>
            </a:r>
            <a:r>
              <a:rPr lang="de-DE" sz="900" b="0" baseline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Einbürgerungen an allen Einbürgerungen in Niedersachsen 2021 und 2024 nach Staaten in Prozent</a:t>
            </a:r>
            <a:endParaRPr lang="de-DE" sz="600" b="0">
              <a:solidFill>
                <a:sysClr val="windowText" lastClr="000000"/>
              </a:solidFill>
              <a:latin typeface=" NDSFrutiger 55 Roman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1.4114101121975083E-3"/>
          <c:y val="2.68600590921300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[1]Daten!$A$42</c:f>
              <c:strCache>
                <c:ptCount val="1"/>
                <c:pt idx="0">
                  <c:v>2024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0971633068092554E-16"/>
                  <c:y val="4.54912331962310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9A-49CE-9CF0-27298D02CFF4}"/>
                </c:ext>
              </c:extLst>
            </c:dLbl>
            <c:dLbl>
              <c:idx val="7"/>
              <c:layout>
                <c:manualLayout>
                  <c:x val="-1.0969203639754296E-16"/>
                  <c:y val="4.4190884322142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9A-49CE-9CF0-27298D02CFF4}"/>
                </c:ext>
              </c:extLst>
            </c:dLbl>
            <c:dLbl>
              <c:idx val="8"/>
              <c:layout>
                <c:manualLayout>
                  <c:x val="1.5340318936101773E-3"/>
                  <c:y val="3.9313424894402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9A-49CE-9CF0-27298D02CFF4}"/>
                </c:ext>
              </c:extLst>
            </c:dLbl>
            <c:dLbl>
              <c:idx val="9"/>
              <c:layout>
                <c:manualLayout>
                  <c:x val="1.5339787963707927E-3"/>
                  <c:y val="4.28393406104921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9A-49CE-9CF0-27298D02CFF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[1]Daten!$B$41:$K$41</c:f>
              <c:strCache>
                <c:ptCount val="10"/>
                <c:pt idx="0">
                  <c:v>Syrien</c:v>
                </c:pt>
                <c:pt idx="1">
                  <c:v>Irak</c:v>
                </c:pt>
                <c:pt idx="2">
                  <c:v>Türkei</c:v>
                </c:pt>
                <c:pt idx="3">
                  <c:v>Russische Föderation</c:v>
                </c:pt>
                <c:pt idx="4">
                  <c:v>Afghanistan</c:v>
                </c:pt>
                <c:pt idx="5">
                  <c:v>Iran</c:v>
                </c:pt>
                <c:pt idx="6">
                  <c:v>Polen</c:v>
                </c:pt>
                <c:pt idx="7">
                  <c:v>Ukraine</c:v>
                </c:pt>
                <c:pt idx="8">
                  <c:v>Rumänien</c:v>
                </c:pt>
                <c:pt idx="9">
                  <c:v>Serbien</c:v>
                </c:pt>
              </c:strCache>
            </c:strRef>
          </c:cat>
          <c:val>
            <c:numRef>
              <c:f>[1]Daten!$B$43:$K$43</c:f>
              <c:numCache>
                <c:formatCode>General</c:formatCode>
                <c:ptCount val="10"/>
                <c:pt idx="0">
                  <c:v>35.939438005217909</c:v>
                </c:pt>
                <c:pt idx="1">
                  <c:v>8.0022240280569683</c:v>
                </c:pt>
                <c:pt idx="2">
                  <c:v>6.0861383174372357</c:v>
                </c:pt>
                <c:pt idx="3">
                  <c:v>4.2256533082417347</c:v>
                </c:pt>
                <c:pt idx="4">
                  <c:v>3.3574269706171682</c:v>
                </c:pt>
                <c:pt idx="5">
                  <c:v>3.2291176596381677</c:v>
                </c:pt>
                <c:pt idx="6">
                  <c:v>2.4849236559599674</c:v>
                </c:pt>
                <c:pt idx="7">
                  <c:v>2.3951071382746676</c:v>
                </c:pt>
                <c:pt idx="8">
                  <c:v>1.7749454685428341</c:v>
                </c:pt>
                <c:pt idx="9">
                  <c:v>1.7663915144775673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9A-49CE-9CF0-27298D02CFF4}"/>
            </c:ext>
          </c:extLst>
        </c:ser>
        <c:ser>
          <c:idx val="1"/>
          <c:order val="1"/>
          <c:tx>
            <c:strRef>
              <c:f>[1]Daten!$A$44</c:f>
              <c:strCache>
                <c:ptCount val="1"/>
                <c:pt idx="0">
                  <c:v>2021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307939177503784E-3"/>
                  <c:y val="9.0406622844120734E-3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424667593153815E-2"/>
                      <c:h val="3.1477271049101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49A-49CE-9CF0-27298D02CFF4}"/>
                </c:ext>
              </c:extLst>
            </c:dLbl>
            <c:dLbl>
              <c:idx val="7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49A-49CE-9CF0-27298D02CFF4}"/>
                </c:ext>
              </c:extLst>
            </c:dLbl>
            <c:dLbl>
              <c:idx val="9"/>
              <c:layout>
                <c:manualLayout>
                  <c:x val="1.1261300018228021E-16"/>
                  <c:y val="3.69653629448922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9A-49CE-9CF0-27298D02CFF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[1]Daten!$B$41:$K$41</c:f>
              <c:strCache>
                <c:ptCount val="10"/>
                <c:pt idx="0">
                  <c:v>Syrien</c:v>
                </c:pt>
                <c:pt idx="1">
                  <c:v>Irak</c:v>
                </c:pt>
                <c:pt idx="2">
                  <c:v>Türkei</c:v>
                </c:pt>
                <c:pt idx="3">
                  <c:v>Russische Föderation</c:v>
                </c:pt>
                <c:pt idx="4">
                  <c:v>Afghanistan</c:v>
                </c:pt>
                <c:pt idx="5">
                  <c:v>Iran</c:v>
                </c:pt>
                <c:pt idx="6">
                  <c:v>Polen</c:v>
                </c:pt>
                <c:pt idx="7">
                  <c:v>Ukraine</c:v>
                </c:pt>
                <c:pt idx="8">
                  <c:v>Rumänien</c:v>
                </c:pt>
                <c:pt idx="9">
                  <c:v>Serbien</c:v>
                </c:pt>
              </c:strCache>
            </c:strRef>
          </c:cat>
          <c:val>
            <c:numRef>
              <c:f>[1]Daten!$B$45:$K$45</c:f>
              <c:numCache>
                <c:formatCode>General</c:formatCode>
                <c:ptCount val="10"/>
                <c:pt idx="0">
                  <c:v>24.877627411459834</c:v>
                </c:pt>
                <c:pt idx="1">
                  <c:v>5.0580669929935693</c:v>
                </c:pt>
                <c:pt idx="2">
                  <c:v>8.6284672233419712</c:v>
                </c:pt>
                <c:pt idx="3">
                  <c:v>1.1229484595450618</c:v>
                </c:pt>
                <c:pt idx="4">
                  <c:v>2.8025722238218638</c:v>
                </c:pt>
                <c:pt idx="5">
                  <c:v>3.1768883770035514</c:v>
                </c:pt>
                <c:pt idx="6">
                  <c:v>5.9410692004990882</c:v>
                </c:pt>
                <c:pt idx="7">
                  <c:v>0.93099145791342741</c:v>
                </c:pt>
                <c:pt idx="8">
                  <c:v>3.5416066801036568</c:v>
                </c:pt>
                <c:pt idx="9">
                  <c:v>1.7947979652557826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9A-49CE-9CF0-27298D02CF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43128816"/>
        <c:axId val="843125536"/>
      </c:barChart>
      <c:catAx>
        <c:axId val="8431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843125536"/>
        <c:crosses val="autoZero"/>
        <c:auto val="1"/>
        <c:lblAlgn val="ctr"/>
        <c:lblOffset val="100"/>
        <c:noMultiLvlLbl val="0"/>
      </c:catAx>
      <c:valAx>
        <c:axId val="8431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31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5875</xdr:colOff>
      <xdr:row>0</xdr:row>
      <xdr:rowOff>102684</xdr:rowOff>
    </xdr:from>
    <xdr:to>
      <xdr:col>10</xdr:col>
      <xdr:colOff>124240</xdr:colOff>
      <xdr:row>21</xdr:row>
      <xdr:rowOff>106494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57B1321-1EB1-4DD5-9410-BD2944F63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99060</xdr:rowOff>
    </xdr:from>
    <xdr:to>
      <xdr:col>6</xdr:col>
      <xdr:colOff>215026</xdr:colOff>
      <xdr:row>21</xdr:row>
      <xdr:rowOff>133856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E7EF1E29-8856-41F8-86A7-23CCB8404B44}"/>
            </a:ext>
          </a:extLst>
        </xdr:cNvPr>
        <xdr:cNvSpPr txBox="1"/>
      </xdr:nvSpPr>
      <xdr:spPr>
        <a:xfrm>
          <a:off x="0" y="3909060"/>
          <a:ext cx="4787026" cy="225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Einbürgerungsstatistik 2021 und 2024 </a:t>
          </a:r>
        </a:p>
      </xdr:txBody>
    </xdr:sp>
    <xdr:clientData/>
  </xdr:twoCellAnchor>
  <xdr:twoCellAnchor>
    <xdr:from>
      <xdr:col>10</xdr:col>
      <xdr:colOff>428960</xdr:colOff>
      <xdr:row>2</xdr:row>
      <xdr:rowOff>151055</xdr:rowOff>
    </xdr:from>
    <xdr:to>
      <xdr:col>17</xdr:col>
      <xdr:colOff>295603</xdr:colOff>
      <xdr:row>10</xdr:row>
      <xdr:rowOff>157655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1830B32-A762-4FF3-8E60-085C6B5A2E72}"/>
            </a:ext>
          </a:extLst>
        </xdr:cNvPr>
        <xdr:cNvSpPr txBox="1"/>
      </xdr:nvSpPr>
      <xdr:spPr>
        <a:xfrm>
          <a:off x="8801435" y="532055"/>
          <a:ext cx="6696068" cy="1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Syrien stellte mit Abstand die größte Gruppe an Eingebürgerten. Mehr als jede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dritte eingebürgerte Person in  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Niedersachsen stammte 2024 aus Syrien (35,9 %).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Mit einem Anstieg von über 11 Prozentpunkten gegenüber 2021 wies Syrien den stärksten Zuwachs unter  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allen betrachteten Herkunftsstaaten auf.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Einen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relativen großen Anteil an Einbürgerungen wiesen darüber hinaus Personen auf, die aus dem Irak (8,0 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%), der Türkei (6,1 %) und der Russischen Föderation (4,2 %) stammten.</a:t>
          </a:r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000" b="0" i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50" b="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Dargestellt sind die zehn häufigsten Herkunftsländer von eingebürgerten Personen in Niedersachsen im Jahr 2024. Die Auswahl basiert auf den absoluten Einbürgerungszahlen dieses Jahres.</a:t>
          </a:r>
          <a:endParaRPr lang="de-DE" sz="900" b="0" i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16C089A-C450-4352-B9C6-5E71C12532C7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12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3F2C60C-6ED5-4B58-8368-45E5D8E99584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Pr&#252;fen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  <sheetName val="2.4"/>
      <sheetName val="3.4"/>
      <sheetName val="3.5"/>
      <sheetName val="4.1"/>
      <sheetName val="4.2"/>
      <sheetName val="4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2021 mit Migrationshintergrund (NI)</v>
          </cell>
        </row>
        <row r="41">
          <cell r="B41" t="str">
            <v>Syrien</v>
          </cell>
          <cell r="C41" t="str">
            <v>Irak</v>
          </cell>
          <cell r="D41" t="str">
            <v>Türkei</v>
          </cell>
          <cell r="E41" t="str">
            <v>Russische Föderation</v>
          </cell>
          <cell r="F41" t="str">
            <v>Afghanistan</v>
          </cell>
          <cell r="G41" t="str">
            <v>Iran</v>
          </cell>
          <cell r="H41" t="str">
            <v>Polen</v>
          </cell>
          <cell r="I41" t="str">
            <v>Ukraine</v>
          </cell>
          <cell r="J41" t="str">
            <v>Rumänien</v>
          </cell>
          <cell r="K41" t="str">
            <v>Serbien</v>
          </cell>
        </row>
        <row r="42">
          <cell r="A42" t="str">
            <v>2024 (NI)</v>
          </cell>
        </row>
        <row r="43">
          <cell r="B43">
            <v>35.939438005217909</v>
          </cell>
          <cell r="C43">
            <v>8.0022240280569683</v>
          </cell>
          <cell r="D43">
            <v>6.0861383174372357</v>
          </cell>
          <cell r="E43">
            <v>4.2256533082417347</v>
          </cell>
          <cell r="F43">
            <v>3.3574269706171682</v>
          </cell>
          <cell r="G43">
            <v>3.2291176596381677</v>
          </cell>
          <cell r="H43">
            <v>2.4849236559599674</v>
          </cell>
          <cell r="I43">
            <v>2.3951071382746676</v>
          </cell>
          <cell r="J43">
            <v>1.7749454685428341</v>
          </cell>
          <cell r="K43">
            <v>1.7663915144775673</v>
          </cell>
        </row>
        <row r="44">
          <cell r="A44" t="str">
            <v>2021 (NI)</v>
          </cell>
        </row>
        <row r="45">
          <cell r="B45">
            <v>24.877627411459834</v>
          </cell>
          <cell r="C45">
            <v>5.0580669929935693</v>
          </cell>
          <cell r="D45">
            <v>8.6284672233419712</v>
          </cell>
          <cell r="E45">
            <v>1.1229484595450618</v>
          </cell>
          <cell r="F45">
            <v>2.8025722238218638</v>
          </cell>
          <cell r="G45">
            <v>3.1768883770035514</v>
          </cell>
          <cell r="H45">
            <v>5.9410692004990882</v>
          </cell>
          <cell r="I45">
            <v>0.93099145791342741</v>
          </cell>
          <cell r="J45">
            <v>3.5416066801036568</v>
          </cell>
          <cell r="K45">
            <v>1.7947979652557826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3.1"/>
      <sheetName val="3.2"/>
      <sheetName val="3.3"/>
      <sheetName val="3.4"/>
      <sheetName val="3.5"/>
      <sheetName val="4.1"/>
      <sheetName val="4.2"/>
      <sheetName val="4.3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3">
          <cell r="B43">
            <v>35.939438005217909</v>
          </cell>
          <cell r="C43">
            <v>8.0022240280569683</v>
          </cell>
          <cell r="D43">
            <v>6.0861383174372357</v>
          </cell>
          <cell r="E43">
            <v>4.2256533082417347</v>
          </cell>
          <cell r="F43">
            <v>3.3574269706171682</v>
          </cell>
          <cell r="G43">
            <v>3.2291176596381677</v>
          </cell>
          <cell r="H43">
            <v>2.4849236559599674</v>
          </cell>
          <cell r="I43">
            <v>2.3951071382746676</v>
          </cell>
          <cell r="J43">
            <v>1.7749454685428341</v>
          </cell>
          <cell r="K43">
            <v>1.7663915144775673</v>
          </cell>
        </row>
        <row r="45">
          <cell r="B45">
            <v>24.877627411459834</v>
          </cell>
          <cell r="C45">
            <v>5.0580669929935693</v>
          </cell>
          <cell r="D45">
            <v>8.6284672233419712</v>
          </cell>
          <cell r="E45">
            <v>1.1229484595450618</v>
          </cell>
          <cell r="F45">
            <v>2.8025722238218638</v>
          </cell>
          <cell r="G45">
            <v>3.1768883770035514</v>
          </cell>
          <cell r="H45">
            <v>5.9410692004990882</v>
          </cell>
          <cell r="I45">
            <v>0.93099145791342741</v>
          </cell>
          <cell r="J45">
            <v>3.5416066801036568</v>
          </cell>
          <cell r="K45">
            <v>1.7947979652557826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08AD-3863-4152-BB21-3EE199A52033}">
  <dimension ref="L12:X37"/>
  <sheetViews>
    <sheetView tabSelected="1" topLeftCell="C3" zoomScale="115" zoomScaleNormal="115" workbookViewId="0">
      <selection activeCell="L26" sqref="L26"/>
    </sheetView>
  </sheetViews>
  <sheetFormatPr baseColWidth="10" defaultColWidth="11.42578125" defaultRowHeight="15" x14ac:dyDescent="0.25"/>
  <cols>
    <col min="8" max="8" width="22.7109375" customWidth="1"/>
    <col min="11" max="11" width="11.28515625" customWidth="1"/>
    <col min="12" max="12" width="34" customWidth="1"/>
  </cols>
  <sheetData>
    <row r="12" spans="12:13" x14ac:dyDescent="0.25">
      <c r="L12" s="1" t="s">
        <v>0</v>
      </c>
      <c r="M12" s="2"/>
    </row>
    <row r="13" spans="12:13" x14ac:dyDescent="0.25">
      <c r="L13" s="3" t="s">
        <v>1</v>
      </c>
      <c r="M13" s="4">
        <v>23381</v>
      </c>
    </row>
    <row r="14" spans="12:13" x14ac:dyDescent="0.25">
      <c r="L14" s="3" t="s">
        <v>2</v>
      </c>
    </row>
    <row r="15" spans="12:13" x14ac:dyDescent="0.25">
      <c r="L15" s="5" t="s">
        <v>3</v>
      </c>
      <c r="M15" s="4">
        <v>8403</v>
      </c>
    </row>
    <row r="16" spans="12:13" x14ac:dyDescent="0.25">
      <c r="L16" s="5" t="s">
        <v>4</v>
      </c>
      <c r="M16" s="4">
        <v>1871</v>
      </c>
    </row>
    <row r="17" spans="12:24" x14ac:dyDescent="0.25">
      <c r="L17" s="5" t="s">
        <v>5</v>
      </c>
      <c r="M17" s="4">
        <v>1423</v>
      </c>
    </row>
    <row r="18" spans="12:24" x14ac:dyDescent="0.25">
      <c r="L18" s="5" t="s">
        <v>6</v>
      </c>
      <c r="M18" s="4">
        <v>988</v>
      </c>
    </row>
    <row r="19" spans="12:24" x14ac:dyDescent="0.25">
      <c r="L19" s="5" t="s">
        <v>7</v>
      </c>
      <c r="M19" s="4">
        <v>785</v>
      </c>
    </row>
    <row r="20" spans="12:24" x14ac:dyDescent="0.25">
      <c r="L20" s="5" t="s">
        <v>8</v>
      </c>
      <c r="M20" s="4">
        <v>755</v>
      </c>
    </row>
    <row r="21" spans="12:24" x14ac:dyDescent="0.25">
      <c r="L21" s="5" t="s">
        <v>9</v>
      </c>
      <c r="M21" s="4">
        <v>581</v>
      </c>
    </row>
    <row r="22" spans="12:24" x14ac:dyDescent="0.25">
      <c r="L22" s="5" t="s">
        <v>10</v>
      </c>
      <c r="M22" s="4">
        <v>560</v>
      </c>
    </row>
    <row r="23" spans="12:24" x14ac:dyDescent="0.25">
      <c r="L23" s="5" t="s">
        <v>11</v>
      </c>
      <c r="M23" s="4">
        <v>415</v>
      </c>
    </row>
    <row r="24" spans="12:24" x14ac:dyDescent="0.25">
      <c r="L24" s="6" t="s">
        <v>12</v>
      </c>
      <c r="M24" s="7">
        <v>413</v>
      </c>
    </row>
    <row r="25" spans="12:24" x14ac:dyDescent="0.25">
      <c r="L25" s="8" t="s">
        <v>24</v>
      </c>
    </row>
    <row r="27" spans="12:24" x14ac:dyDescent="0.25">
      <c r="T27" s="9"/>
      <c r="W27" s="9"/>
    </row>
    <row r="28" spans="12:24" x14ac:dyDescent="0.25">
      <c r="T28" s="10"/>
      <c r="U28" s="11"/>
      <c r="W28" s="10"/>
      <c r="X28" s="11"/>
    </row>
    <row r="29" spans="12:24" x14ac:dyDescent="0.25">
      <c r="U29" s="11"/>
      <c r="X29" s="11"/>
    </row>
    <row r="30" spans="12:24" x14ac:dyDescent="0.25">
      <c r="X30" s="11"/>
    </row>
    <row r="37" spans="20:24" x14ac:dyDescent="0.25">
      <c r="T37" s="10"/>
      <c r="U37" s="11"/>
      <c r="W37" s="10"/>
      <c r="X37" s="11"/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&amp;C_x000D_&amp;1#&amp;"Calibri"&amp;10&amp;K000000 Stufe 2 – Intern nach LfD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7A09-90A0-4B5E-BE3B-46BA6CF5DD68}">
  <dimension ref="A1:M9"/>
  <sheetViews>
    <sheetView workbookViewId="0">
      <selection activeCell="F27" sqref="F27"/>
    </sheetView>
  </sheetViews>
  <sheetFormatPr baseColWidth="10" defaultRowHeight="15" x14ac:dyDescent="0.25"/>
  <cols>
    <col min="1" max="1" width="51.140625" bestFit="1" customWidth="1"/>
    <col min="2" max="2" width="14.7109375" customWidth="1"/>
    <col min="3" max="3" width="19" customWidth="1"/>
    <col min="4" max="4" width="15" customWidth="1"/>
    <col min="5" max="5" width="13.85546875" customWidth="1"/>
    <col min="6" max="11" width="14.42578125" bestFit="1" customWidth="1"/>
    <col min="12" max="12" width="15.42578125" bestFit="1" customWidth="1"/>
  </cols>
  <sheetData>
    <row r="1" spans="1:13" x14ac:dyDescent="0.25">
      <c r="A1" s="12" t="s">
        <v>15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16</v>
      </c>
    </row>
    <row r="2" spans="1:13" x14ac:dyDescent="0.25">
      <c r="A2" s="13" t="s">
        <v>14</v>
      </c>
      <c r="B2">
        <v>8403</v>
      </c>
      <c r="C2">
        <v>1871</v>
      </c>
      <c r="D2">
        <v>1423</v>
      </c>
      <c r="E2">
        <v>988</v>
      </c>
      <c r="F2">
        <v>785</v>
      </c>
      <c r="G2">
        <v>755</v>
      </c>
      <c r="H2">
        <v>581</v>
      </c>
      <c r="I2">
        <v>560</v>
      </c>
      <c r="J2">
        <v>415</v>
      </c>
      <c r="K2">
        <v>413</v>
      </c>
      <c r="L2">
        <f>M2-(SUM(B2:K2))</f>
        <v>7187</v>
      </c>
      <c r="M2">
        <v>23381</v>
      </c>
    </row>
    <row r="3" spans="1:13" x14ac:dyDescent="0.25">
      <c r="A3" s="13">
        <v>23381</v>
      </c>
      <c r="B3" s="14">
        <f>B2/A3*100</f>
        <v>35.939438005217909</v>
      </c>
      <c r="C3" s="14">
        <f>C2/A3*100</f>
        <v>8.0022240280569683</v>
      </c>
      <c r="D3" s="14">
        <f>D2/A3*100</f>
        <v>6.0861383174372357</v>
      </c>
      <c r="E3" s="14">
        <f>E2/A3*100</f>
        <v>4.2256533082417347</v>
      </c>
      <c r="F3" s="14">
        <f>F2/A3*100</f>
        <v>3.3574269706171682</v>
      </c>
      <c r="G3" s="14">
        <f>G2/A3*100</f>
        <v>3.2291176596381677</v>
      </c>
      <c r="H3" s="14">
        <f>H2/A3*100</f>
        <v>2.4849236559599674</v>
      </c>
      <c r="I3" s="14">
        <f>I2/A3*100</f>
        <v>2.3951071382746676</v>
      </c>
      <c r="J3" s="14">
        <f>J2/A3*100</f>
        <v>1.7749454685428341</v>
      </c>
      <c r="K3" s="14">
        <f>K2/A3*100</f>
        <v>1.7663915144775673</v>
      </c>
      <c r="L3" s="14">
        <f>L2/A3*100</f>
        <v>30.738633933535773</v>
      </c>
      <c r="M3">
        <f>SUM(B3:L3)</f>
        <v>100</v>
      </c>
    </row>
    <row r="4" spans="1:13" x14ac:dyDescent="0.25">
      <c r="A4" s="13" t="s">
        <v>13</v>
      </c>
      <c r="B4">
        <v>2592</v>
      </c>
      <c r="C4">
        <v>527</v>
      </c>
      <c r="D4">
        <v>899</v>
      </c>
      <c r="E4">
        <v>117</v>
      </c>
      <c r="F4">
        <v>292</v>
      </c>
      <c r="G4">
        <v>331</v>
      </c>
      <c r="H4">
        <v>619</v>
      </c>
      <c r="I4">
        <v>97</v>
      </c>
      <c r="J4">
        <v>369</v>
      </c>
      <c r="K4">
        <v>187</v>
      </c>
      <c r="L4">
        <f>M4-(SUM(B4:K4))</f>
        <v>4389</v>
      </c>
      <c r="M4">
        <v>10419</v>
      </c>
    </row>
    <row r="5" spans="1:13" x14ac:dyDescent="0.25">
      <c r="A5" s="13">
        <v>10419</v>
      </c>
      <c r="B5" s="14">
        <f>B4/A5*100</f>
        <v>24.877627411459834</v>
      </c>
      <c r="C5" s="14">
        <f>C4/A5*100</f>
        <v>5.0580669929935693</v>
      </c>
      <c r="D5" s="14">
        <f>D4/A5*100</f>
        <v>8.6284672233419712</v>
      </c>
      <c r="E5" s="14">
        <f>E4/A5*100</f>
        <v>1.1229484595450618</v>
      </c>
      <c r="F5" s="14">
        <f>F4/A5*100</f>
        <v>2.8025722238218638</v>
      </c>
      <c r="G5" s="14">
        <f>G4/A5*100</f>
        <v>3.1768883770035514</v>
      </c>
      <c r="H5" s="14">
        <f>H4/A5*100</f>
        <v>5.9410692004990882</v>
      </c>
      <c r="I5" s="14">
        <f>I4/A5*100</f>
        <v>0.93099145791342741</v>
      </c>
      <c r="J5" s="14">
        <f>J4/A5*100</f>
        <v>3.5416066801036568</v>
      </c>
      <c r="K5" s="14">
        <f>K4/A5*100</f>
        <v>1.7947979652557826</v>
      </c>
      <c r="L5" s="14">
        <f>L4/A5*100</f>
        <v>42.124964008062193</v>
      </c>
      <c r="M5">
        <f>SUM(B5:L5)</f>
        <v>100</v>
      </c>
    </row>
    <row r="7" spans="1:13" x14ac:dyDescent="0.25">
      <c r="A7" s="13"/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19</v>
      </c>
      <c r="I7" s="13"/>
      <c r="J7">
        <v>2024</v>
      </c>
      <c r="K7">
        <v>2021</v>
      </c>
    </row>
    <row r="8" spans="1:13" x14ac:dyDescent="0.25">
      <c r="A8" s="13">
        <v>2024</v>
      </c>
      <c r="B8">
        <v>23381</v>
      </c>
      <c r="C8" s="11">
        <v>1093110</v>
      </c>
      <c r="D8" s="14">
        <f>B8/C8*100</f>
        <v>2.1389430157989588</v>
      </c>
      <c r="E8" s="11">
        <v>291955</v>
      </c>
      <c r="F8" s="11">
        <v>14062000</v>
      </c>
      <c r="G8" s="14">
        <f>E8/F8*100</f>
        <v>2.0761982648271937</v>
      </c>
      <c r="I8" s="13" t="s">
        <v>22</v>
      </c>
      <c r="J8">
        <v>2.1</v>
      </c>
      <c r="K8">
        <v>1</v>
      </c>
    </row>
    <row r="9" spans="1:13" x14ac:dyDescent="0.25">
      <c r="A9" s="13">
        <v>2021</v>
      </c>
      <c r="B9">
        <v>10419</v>
      </c>
      <c r="C9" s="11">
        <v>1085315</v>
      </c>
      <c r="D9" s="14">
        <f>B9/C9*100</f>
        <v>0.95999778866043495</v>
      </c>
      <c r="E9" s="11">
        <v>128905</v>
      </c>
      <c r="F9" s="11">
        <v>11228300</v>
      </c>
      <c r="G9" s="14">
        <f>E9/F9*100</f>
        <v>1.1480366573746692</v>
      </c>
      <c r="I9" s="13" t="s">
        <v>23</v>
      </c>
      <c r="J9">
        <v>2.1</v>
      </c>
      <c r="K9">
        <v>1.1000000000000001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1.5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2025-07-04T11:41:33Z</dcterms:created>
  <dcterms:modified xsi:type="dcterms:W3CDTF">2025-07-17T08:40:21Z</dcterms:modified>
</cp:coreProperties>
</file>